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 &quot;€&quot;"/>
    <numFmt numFmtId="166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 total por categoría (EUR, T3 2026)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'Resumen'!B3</f>
            </strRef>
          </tx>
          <spPr>
            <a:ln>
              <a:prstDash val="solid"/>
            </a:ln>
          </spPr>
          <cat>
            <numRef>
              <f>'Resumen'!$A$4:$A$9</f>
            </numRef>
          </cat>
          <val>
            <numRef>
              <f>'Resumen'!$B$4:$B$9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astos" displayName="Gastos" ref="A1:E44" headerRowCount="1">
  <autoFilter ref="A1:E44"/>
  <tableColumns count="5">
    <tableColumn id="1" name="fecha"/>
    <tableColumn id="2" name="categoria"/>
    <tableColumn id="3" name="proveedor"/>
    <tableColumn id="4" name="importe_eur"/>
    <tableColumn id="5" name="emple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  <col width="12" customWidth="1" min="5" max="5"/>
  </cols>
  <sheetData>
    <row r="1">
      <c r="A1" t="inlineStr">
        <is>
          <t>fecha</t>
        </is>
      </c>
      <c r="B1" t="inlineStr">
        <is>
          <t>categoria</t>
        </is>
      </c>
      <c r="C1" t="inlineStr">
        <is>
          <t>proveedor</t>
        </is>
      </c>
      <c r="D1" t="inlineStr">
        <is>
          <t>importe_eur</t>
        </is>
      </c>
      <c r="E1" t="inlineStr">
        <is>
          <t>empleado</t>
        </is>
      </c>
    </row>
    <row r="2">
      <c r="A2" s="1" t="n">
        <v>46206</v>
      </c>
      <c r="B2" t="inlineStr">
        <is>
          <t>Software</t>
        </is>
      </c>
      <c r="C2" t="inlineStr">
        <is>
          <t>Figma</t>
        </is>
      </c>
      <c r="D2" s="2" t="n">
        <v>134.18</v>
      </c>
      <c r="E2" t="inlineStr">
        <is>
          <t>Luis</t>
        </is>
      </c>
    </row>
    <row r="3">
      <c r="A3" s="1" t="n">
        <v>46207</v>
      </c>
      <c r="B3" t="inlineStr">
        <is>
          <t>Comidas</t>
        </is>
      </c>
      <c r="C3" t="inlineStr">
        <is>
          <t>Cafetería Central</t>
        </is>
      </c>
      <c r="D3" s="2" t="n">
        <v>66.39</v>
      </c>
      <c r="E3" t="inlineStr">
        <is>
          <t>Ana</t>
        </is>
      </c>
    </row>
    <row r="4">
      <c r="A4" s="1" t="n">
        <v>46207</v>
      </c>
      <c r="B4" t="inlineStr">
        <is>
          <t>Formación</t>
        </is>
      </c>
      <c r="C4" t="inlineStr">
        <is>
          <t>CodeCrypto</t>
        </is>
      </c>
      <c r="D4" s="2" t="n">
        <v>545.37</v>
      </c>
      <c r="E4" t="inlineStr">
        <is>
          <t>Luis</t>
        </is>
      </c>
    </row>
    <row r="5">
      <c r="A5" s="1" t="n">
        <v>46208</v>
      </c>
      <c r="B5" t="inlineStr">
        <is>
          <t>Comidas</t>
        </is>
      </c>
      <c r="C5" t="inlineStr">
        <is>
          <t>Glovo</t>
        </is>
      </c>
      <c r="D5" s="2" t="n">
        <v>61.38</v>
      </c>
      <c r="E5" t="inlineStr">
        <is>
          <t>Ana</t>
        </is>
      </c>
    </row>
    <row r="6">
      <c r="A6" s="1" t="n">
        <v>46210</v>
      </c>
      <c r="B6" t="inlineStr">
        <is>
          <t>Formación</t>
        </is>
      </c>
      <c r="C6" t="inlineStr">
        <is>
          <t>CodeCrypto</t>
        </is>
      </c>
      <c r="D6" s="2" t="n">
        <v>628.34</v>
      </c>
      <c r="E6" t="inlineStr">
        <is>
          <t>Jorge</t>
        </is>
      </c>
    </row>
    <row r="7">
      <c r="A7" s="1" t="n">
        <v>46211</v>
      </c>
      <c r="B7" t="inlineStr">
        <is>
          <t>Comidas</t>
        </is>
      </c>
      <c r="C7" t="inlineStr">
        <is>
          <t>Restaurante La Plaza</t>
        </is>
      </c>
      <c r="D7" s="2" t="n">
        <v>65.31999999999999</v>
      </c>
      <c r="E7" t="inlineStr">
        <is>
          <t>Luis</t>
        </is>
      </c>
    </row>
    <row r="8">
      <c r="A8" s="1" t="n">
        <v>46211</v>
      </c>
      <c r="B8" t="inlineStr">
        <is>
          <t>Software</t>
        </is>
      </c>
      <c r="C8" t="inlineStr">
        <is>
          <t>GitHub</t>
        </is>
      </c>
      <c r="D8" s="2" t="n">
        <v>173.65</v>
      </c>
      <c r="E8" t="inlineStr">
        <is>
          <t>Luis</t>
        </is>
      </c>
    </row>
    <row r="9">
      <c r="A9" s="1" t="n">
        <v>46217</v>
      </c>
      <c r="B9" t="inlineStr">
        <is>
          <t>Comidas</t>
        </is>
      </c>
      <c r="C9" t="inlineStr">
        <is>
          <t>Restaurante La Plaza</t>
        </is>
      </c>
      <c r="D9" s="2" t="n">
        <v>52.34</v>
      </c>
      <c r="E9" t="inlineStr">
        <is>
          <t>Marta</t>
        </is>
      </c>
    </row>
    <row r="10">
      <c r="A10" s="1" t="n">
        <v>46218</v>
      </c>
      <c r="B10" t="inlineStr">
        <is>
          <t>Comidas</t>
        </is>
      </c>
      <c r="C10" t="inlineStr">
        <is>
          <t>Cafetería Central</t>
        </is>
      </c>
      <c r="D10" s="2" t="n">
        <v>83.72</v>
      </c>
      <c r="E10" t="inlineStr">
        <is>
          <t>Marta</t>
        </is>
      </c>
    </row>
    <row r="11">
      <c r="A11" s="1" t="n">
        <v>46218</v>
      </c>
      <c r="B11" t="inlineStr">
        <is>
          <t>Marketing</t>
        </is>
      </c>
      <c r="C11" t="inlineStr">
        <is>
          <t>Google Ads</t>
        </is>
      </c>
      <c r="D11" s="2" t="n">
        <v>498.9</v>
      </c>
      <c r="E11" t="inlineStr">
        <is>
          <t>Ana</t>
        </is>
      </c>
    </row>
    <row r="12">
      <c r="A12" s="1" t="n">
        <v>46221</v>
      </c>
      <c r="B12" t="inlineStr">
        <is>
          <t>Software</t>
        </is>
      </c>
      <c r="C12" t="inlineStr">
        <is>
          <t>Figma</t>
        </is>
      </c>
      <c r="D12" s="2" t="n">
        <v>31.85</v>
      </c>
      <c r="E12" t="inlineStr">
        <is>
          <t>Ana</t>
        </is>
      </c>
    </row>
    <row r="13">
      <c r="A13" s="1" t="n">
        <v>46222</v>
      </c>
      <c r="B13" t="inlineStr">
        <is>
          <t>Software</t>
        </is>
      </c>
      <c r="C13" t="inlineStr">
        <is>
          <t>OpenRouter</t>
        </is>
      </c>
      <c r="D13" s="2" t="n">
        <v>164.68</v>
      </c>
      <c r="E13" t="inlineStr">
        <is>
          <t>Marta</t>
        </is>
      </c>
    </row>
    <row r="14">
      <c r="A14" s="1" t="n">
        <v>46224</v>
      </c>
      <c r="B14" t="inlineStr">
        <is>
          <t>Viajes</t>
        </is>
      </c>
      <c r="C14" t="inlineStr">
        <is>
          <t>Renfe</t>
        </is>
      </c>
      <c r="D14" s="2" t="n">
        <v>363.18</v>
      </c>
      <c r="E14" t="inlineStr">
        <is>
          <t>Jorge</t>
        </is>
      </c>
    </row>
    <row r="15">
      <c r="A15" s="1" t="n">
        <v>46230</v>
      </c>
      <c r="B15" t="inlineStr">
        <is>
          <t>Formación</t>
        </is>
      </c>
      <c r="C15" t="inlineStr">
        <is>
          <t>O'Reilly</t>
        </is>
      </c>
      <c r="D15" s="2" t="n">
        <v>203.62</v>
      </c>
      <c r="E15" t="inlineStr">
        <is>
          <t>Luis</t>
        </is>
      </c>
    </row>
    <row r="16">
      <c r="A16" s="1" t="n">
        <v>46236</v>
      </c>
      <c r="B16" t="inlineStr">
        <is>
          <t>Material oficina</t>
        </is>
      </c>
      <c r="C16" t="inlineStr">
        <is>
          <t>Amazon</t>
        </is>
      </c>
      <c r="D16" s="2" t="n">
        <v>93.34999999999999</v>
      </c>
      <c r="E16" t="inlineStr">
        <is>
          <t>Luis</t>
        </is>
      </c>
    </row>
    <row r="17">
      <c r="A17" s="1" t="n">
        <v>46239</v>
      </c>
      <c r="B17" t="inlineStr">
        <is>
          <t>Viajes</t>
        </is>
      </c>
      <c r="C17" t="inlineStr">
        <is>
          <t>Renfe</t>
        </is>
      </c>
      <c r="D17" s="2" t="n">
        <v>138.68</v>
      </c>
      <c r="E17" t="inlineStr">
        <is>
          <t>Luis</t>
        </is>
      </c>
    </row>
    <row r="18">
      <c r="A18" s="1" t="n">
        <v>46240</v>
      </c>
      <c r="B18" t="inlineStr">
        <is>
          <t>Software</t>
        </is>
      </c>
      <c r="C18" t="inlineStr">
        <is>
          <t>Figma</t>
        </is>
      </c>
      <c r="D18" s="2" t="n">
        <v>129.47</v>
      </c>
      <c r="E18" t="inlineStr">
        <is>
          <t>Marta</t>
        </is>
      </c>
    </row>
    <row r="19">
      <c r="A19" s="1" t="n">
        <v>46237</v>
      </c>
      <c r="B19" t="inlineStr">
        <is>
          <t>Viajes</t>
        </is>
      </c>
      <c r="C19" t="inlineStr">
        <is>
          <t>Iberia</t>
        </is>
      </c>
      <c r="D19" s="2" t="n">
        <v>4850</v>
      </c>
      <c r="E19" t="inlineStr">
        <is>
          <t>Luis</t>
        </is>
      </c>
    </row>
    <row r="20">
      <c r="A20" s="1" t="n">
        <v>46242</v>
      </c>
      <c r="B20" t="inlineStr">
        <is>
          <t>Marketing</t>
        </is>
      </c>
      <c r="C20" t="inlineStr">
        <is>
          <t>Google Ads</t>
        </is>
      </c>
      <c r="D20" s="2" t="n">
        <v>331.03</v>
      </c>
      <c r="E20" t="inlineStr">
        <is>
          <t>Jorge</t>
        </is>
      </c>
    </row>
    <row r="21">
      <c r="A21" s="1" t="n">
        <v>46243</v>
      </c>
      <c r="B21" t="inlineStr">
        <is>
          <t>Software</t>
        </is>
      </c>
      <c r="C21" t="inlineStr">
        <is>
          <t>Figma</t>
        </is>
      </c>
      <c r="D21" s="2" t="n">
        <v>213.66</v>
      </c>
      <c r="E21" t="inlineStr">
        <is>
          <t>Ana</t>
        </is>
      </c>
    </row>
    <row r="22">
      <c r="A22" s="1" t="n">
        <v>46248</v>
      </c>
      <c r="B22" t="inlineStr">
        <is>
          <t>Marketing</t>
        </is>
      </c>
      <c r="C22" t="inlineStr">
        <is>
          <t>Google Ads</t>
        </is>
      </c>
      <c r="D22" s="2" t="n">
        <v>555.7</v>
      </c>
      <c r="E22" t="inlineStr">
        <is>
          <t>Jorge</t>
        </is>
      </c>
    </row>
    <row r="23">
      <c r="A23" s="1" t="n">
        <v>46249</v>
      </c>
      <c r="B23" t="inlineStr">
        <is>
          <t>Software</t>
        </is>
      </c>
      <c r="C23" t="inlineStr">
        <is>
          <t>OpenRouter</t>
        </is>
      </c>
      <c r="D23" s="2" t="n">
        <v>62.89</v>
      </c>
      <c r="E23" t="inlineStr">
        <is>
          <t>Ana</t>
        </is>
      </c>
    </row>
    <row r="24">
      <c r="A24" s="1" t="n">
        <v>46250</v>
      </c>
      <c r="B24" t="inlineStr">
        <is>
          <t>Formación</t>
        </is>
      </c>
      <c r="C24" t="inlineStr">
        <is>
          <t>O'Reilly</t>
        </is>
      </c>
      <c r="D24" s="2" t="n">
        <v>727.36</v>
      </c>
      <c r="E24" t="inlineStr">
        <is>
          <t>Ana</t>
        </is>
      </c>
    </row>
    <row r="25">
      <c r="A25" s="1" t="n">
        <v>46250</v>
      </c>
      <c r="B25" t="inlineStr">
        <is>
          <t>Viajes</t>
        </is>
      </c>
      <c r="C25" t="inlineStr">
        <is>
          <t>Cabify</t>
        </is>
      </c>
      <c r="D25" s="2" t="n">
        <v>61.96</v>
      </c>
      <c r="E25" t="inlineStr">
        <is>
          <t>Ana</t>
        </is>
      </c>
    </row>
    <row r="26">
      <c r="A26" s="1" t="n">
        <v>46251</v>
      </c>
      <c r="B26" t="inlineStr">
        <is>
          <t>Software</t>
        </is>
      </c>
      <c r="C26" t="inlineStr">
        <is>
          <t>Figma</t>
        </is>
      </c>
      <c r="D26" s="2" t="n">
        <v>62.01</v>
      </c>
      <c r="E26" t="inlineStr">
        <is>
          <t>Marta</t>
        </is>
      </c>
    </row>
    <row r="27">
      <c r="A27" s="1" t="n">
        <v>46253</v>
      </c>
      <c r="B27" t="inlineStr">
        <is>
          <t>Formación</t>
        </is>
      </c>
      <c r="C27" t="inlineStr">
        <is>
          <t>CodeCrypto</t>
        </is>
      </c>
      <c r="D27" s="2" t="n">
        <v>339.1</v>
      </c>
      <c r="E27" t="inlineStr">
        <is>
          <t>Marta</t>
        </is>
      </c>
    </row>
    <row r="28">
      <c r="A28" s="1" t="n">
        <v>46257</v>
      </c>
      <c r="B28" t="inlineStr">
        <is>
          <t>Comidas</t>
        </is>
      </c>
      <c r="C28" t="inlineStr">
        <is>
          <t>Glovo</t>
        </is>
      </c>
      <c r="D28" s="2" t="n">
        <v>80.73999999999999</v>
      </c>
      <c r="E28" t="inlineStr">
        <is>
          <t>Marta</t>
        </is>
      </c>
    </row>
    <row r="29">
      <c r="A29" s="1" t="n">
        <v>46258</v>
      </c>
      <c r="B29" t="inlineStr">
        <is>
          <t>Software</t>
        </is>
      </c>
      <c r="C29" t="inlineStr">
        <is>
          <t>OpenRouter</t>
        </is>
      </c>
      <c r="D29" s="2" t="n">
        <v>199.43</v>
      </c>
      <c r="E29" t="inlineStr">
        <is>
          <t>Jorge</t>
        </is>
      </c>
    </row>
    <row r="30">
      <c r="A30" s="1" t="n">
        <v>46261</v>
      </c>
      <c r="B30" t="inlineStr">
        <is>
          <t>Viajes</t>
        </is>
      </c>
      <c r="C30" t="inlineStr">
        <is>
          <t>Cabify</t>
        </is>
      </c>
      <c r="D30" s="2" t="n">
        <v>523.83</v>
      </c>
      <c r="E30" t="inlineStr">
        <is>
          <t>Marta</t>
        </is>
      </c>
    </row>
    <row r="31">
      <c r="A31" s="1" t="n">
        <v>46266</v>
      </c>
      <c r="B31" t="inlineStr">
        <is>
          <t>Software</t>
        </is>
      </c>
      <c r="C31" t="inlineStr">
        <is>
          <t>AWS</t>
        </is>
      </c>
      <c r="D31" s="2" t="n">
        <v>58.11</v>
      </c>
      <c r="E31" t="inlineStr">
        <is>
          <t>Ana</t>
        </is>
      </c>
    </row>
    <row r="32">
      <c r="A32" s="1" t="n">
        <v>46271</v>
      </c>
      <c r="B32" t="inlineStr">
        <is>
          <t>Marketing</t>
        </is>
      </c>
      <c r="C32" t="inlineStr">
        <is>
          <t>Canva</t>
        </is>
      </c>
      <c r="D32" s="2" t="n">
        <v>47.78</v>
      </c>
      <c r="E32" t="inlineStr">
        <is>
          <t>Marta</t>
        </is>
      </c>
    </row>
    <row r="33">
      <c r="A33" s="1" t="n">
        <v>46273</v>
      </c>
      <c r="B33" t="inlineStr">
        <is>
          <t>Marketing</t>
        </is>
      </c>
      <c r="C33" t="inlineStr">
        <is>
          <t>LinkedIn Ads</t>
        </is>
      </c>
      <c r="D33" s="2" t="n">
        <v>403.42</v>
      </c>
      <c r="E33" t="inlineStr">
        <is>
          <t>Luis</t>
        </is>
      </c>
    </row>
    <row r="34">
      <c r="A34" s="1" t="n">
        <v>46275</v>
      </c>
      <c r="B34" t="inlineStr">
        <is>
          <t>Comidas</t>
        </is>
      </c>
      <c r="C34" t="inlineStr">
        <is>
          <t>Restaurante La Plaza</t>
        </is>
      </c>
      <c r="D34" s="2" t="n">
        <v>19.95</v>
      </c>
      <c r="E34" t="inlineStr">
        <is>
          <t>Marta</t>
        </is>
      </c>
    </row>
    <row r="35">
      <c r="A35" s="1" t="n">
        <v>46277</v>
      </c>
      <c r="B35" t="inlineStr">
        <is>
          <t>Formación</t>
        </is>
      </c>
      <c r="C35" t="inlineStr">
        <is>
          <t>CodeCrypto</t>
        </is>
      </c>
      <c r="D35" s="2" t="n">
        <v>154.42</v>
      </c>
      <c r="E35" t="inlineStr">
        <is>
          <t>Jorge</t>
        </is>
      </c>
    </row>
    <row r="36">
      <c r="A36" s="1" t="n">
        <v>46278</v>
      </c>
      <c r="B36" t="inlineStr">
        <is>
          <t>Formación</t>
        </is>
      </c>
      <c r="C36" t="inlineStr">
        <is>
          <t>Udemy</t>
        </is>
      </c>
      <c r="D36" s="2" t="n">
        <v>589.25</v>
      </c>
      <c r="E36" t="inlineStr">
        <is>
          <t>Marta</t>
        </is>
      </c>
    </row>
    <row r="37">
      <c r="A37" s="1" t="n">
        <v>46280</v>
      </c>
      <c r="B37" t="inlineStr">
        <is>
          <t>Viajes</t>
        </is>
      </c>
      <c r="C37" t="inlineStr">
        <is>
          <t>Iberia</t>
        </is>
      </c>
      <c r="D37" s="2" t="n">
        <v>101.56</v>
      </c>
      <c r="E37" t="inlineStr">
        <is>
          <t>Ana</t>
        </is>
      </c>
    </row>
    <row r="38">
      <c r="A38" s="1" t="n">
        <v>46281</v>
      </c>
      <c r="B38" t="inlineStr">
        <is>
          <t>Material oficina</t>
        </is>
      </c>
      <c r="C38" t="inlineStr">
        <is>
          <t>Office Depot</t>
        </is>
      </c>
      <c r="D38" s="2" t="n">
        <v>40.86</v>
      </c>
      <c r="E38" t="inlineStr">
        <is>
          <t>Luis</t>
        </is>
      </c>
    </row>
    <row r="39">
      <c r="A39" s="1" t="n">
        <v>46281</v>
      </c>
      <c r="B39" t="inlineStr">
        <is>
          <t>Software</t>
        </is>
      </c>
      <c r="C39" t="inlineStr">
        <is>
          <t>Figma</t>
        </is>
      </c>
      <c r="D39" s="2" t="n">
        <v>32.74</v>
      </c>
      <c r="E39" t="inlineStr">
        <is>
          <t>Ana</t>
        </is>
      </c>
    </row>
    <row r="40">
      <c r="A40" s="1" t="n">
        <v>46284</v>
      </c>
      <c r="B40" t="inlineStr">
        <is>
          <t>Formación</t>
        </is>
      </c>
      <c r="C40" t="inlineStr">
        <is>
          <t>CodeCrypto</t>
        </is>
      </c>
      <c r="D40" s="2" t="n">
        <v>860.13</v>
      </c>
      <c r="E40" t="inlineStr">
        <is>
          <t>Ana</t>
        </is>
      </c>
    </row>
    <row r="41">
      <c r="A41" s="1" t="n">
        <v>46285</v>
      </c>
      <c r="B41" t="inlineStr">
        <is>
          <t>Comidas</t>
        </is>
      </c>
      <c r="C41" t="inlineStr">
        <is>
          <t>Restaurante La Plaza</t>
        </is>
      </c>
      <c r="D41" s="2" t="n">
        <v>13.77</v>
      </c>
      <c r="E41" t="inlineStr">
        <is>
          <t>Luis</t>
        </is>
      </c>
    </row>
    <row r="42">
      <c r="A42" s="1" t="n">
        <v>46288</v>
      </c>
      <c r="B42" t="inlineStr">
        <is>
          <t>Viajes</t>
        </is>
      </c>
      <c r="C42" t="inlineStr">
        <is>
          <t>Renfe</t>
        </is>
      </c>
      <c r="D42" s="2" t="n">
        <v>464.56</v>
      </c>
      <c r="E42" t="inlineStr">
        <is>
          <t>Marta</t>
        </is>
      </c>
    </row>
    <row r="43">
      <c r="A43" s="1" t="n">
        <v>46289</v>
      </c>
      <c r="B43" t="inlineStr">
        <is>
          <t>Software</t>
        </is>
      </c>
      <c r="C43" t="inlineStr">
        <is>
          <t>OpenRouter</t>
        </is>
      </c>
      <c r="D43" s="2" t="n">
        <v>226</v>
      </c>
      <c r="E43" t="inlineStr">
        <is>
          <t>Jorge</t>
        </is>
      </c>
    </row>
    <row r="44">
      <c r="A44" s="1" t="n">
        <v>46293</v>
      </c>
      <c r="B44" t="inlineStr">
        <is>
          <t>Material oficina</t>
        </is>
      </c>
      <c r="C44" t="inlineStr">
        <is>
          <t>Office Depot</t>
        </is>
      </c>
      <c r="D44" s="2" t="n">
        <v>50.78</v>
      </c>
      <c r="E44" t="inlineStr">
        <is>
          <t>Jorge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Resumen gastos T3 2026 (jul-sep)</t>
        </is>
      </c>
    </row>
    <row r="3">
      <c r="A3" s="4" t="inlineStr">
        <is>
          <t>Categoría</t>
        </is>
      </c>
      <c r="B3" s="4" t="inlineStr">
        <is>
          <t>Total</t>
        </is>
      </c>
      <c r="C3" s="4" t="inlineStr">
        <is>
          <t>% del total</t>
        </is>
      </c>
      <c r="D3" s="4" t="inlineStr">
        <is>
          <t>Nº gastos</t>
        </is>
      </c>
    </row>
    <row r="4">
      <c r="A4" t="inlineStr">
        <is>
          <t>Viajes</t>
        </is>
      </c>
      <c r="B4" s="5">
        <f>SUMIFS(Datos!$D$2:$D$44,Datos!$B$2:$B$44,A4)</f>
        <v/>
      </c>
      <c r="C4" s="6">
        <f>B4/$B$10</f>
        <v/>
      </c>
      <c r="D4">
        <f>COUNTIF(Datos!$B$2:$B$44,A4)</f>
        <v/>
      </c>
    </row>
    <row r="5">
      <c r="A5" t="inlineStr">
        <is>
          <t>Formación</t>
        </is>
      </c>
      <c r="B5" s="5">
        <f>SUMIFS(Datos!$D$2:$D$44,Datos!$B$2:$B$44,A5)</f>
        <v/>
      </c>
      <c r="C5" s="6">
        <f>B5/$B$10</f>
        <v/>
      </c>
      <c r="D5">
        <f>COUNTIF(Datos!$B$2:$B$44,A5)</f>
        <v/>
      </c>
    </row>
    <row r="6">
      <c r="A6" t="inlineStr">
        <is>
          <t>Marketing</t>
        </is>
      </c>
      <c r="B6" s="5">
        <f>SUMIFS(Datos!$D$2:$D$44,Datos!$B$2:$B$44,A6)</f>
        <v/>
      </c>
      <c r="C6" s="6">
        <f>B6/$B$10</f>
        <v/>
      </c>
      <c r="D6">
        <f>COUNTIF(Datos!$B$2:$B$44,A6)</f>
        <v/>
      </c>
    </row>
    <row r="7">
      <c r="A7" t="inlineStr">
        <is>
          <t>Software</t>
        </is>
      </c>
      <c r="B7" s="5">
        <f>SUMIFS(Datos!$D$2:$D$44,Datos!$B$2:$B$44,A7)</f>
        <v/>
      </c>
      <c r="C7" s="6">
        <f>B7/$B$10</f>
        <v/>
      </c>
      <c r="D7">
        <f>COUNTIF(Datos!$B$2:$B$44,A7)</f>
        <v/>
      </c>
    </row>
    <row r="8">
      <c r="A8" t="inlineStr">
        <is>
          <t>Comidas</t>
        </is>
      </c>
      <c r="B8" s="5">
        <f>SUMIFS(Datos!$D$2:$D$44,Datos!$B$2:$B$44,A8)</f>
        <v/>
      </c>
      <c r="C8" s="6">
        <f>B8/$B$10</f>
        <v/>
      </c>
      <c r="D8">
        <f>COUNTIF(Datos!$B$2:$B$44,A8)</f>
        <v/>
      </c>
    </row>
    <row r="9">
      <c r="A9" t="inlineStr">
        <is>
          <t>Material oficina</t>
        </is>
      </c>
      <c r="B9" s="5">
        <f>SUMIFS(Datos!$D$2:$D$44,Datos!$B$2:$B$44,A9)</f>
        <v/>
      </c>
      <c r="C9" s="6">
        <f>B9/$B$10</f>
        <v/>
      </c>
      <c r="D9">
        <f>COUNTIF(Datos!$B$2:$B$44,A9)</f>
        <v/>
      </c>
    </row>
    <row r="10">
      <c r="A10" s="7" t="inlineStr">
        <is>
          <t>TOTAL</t>
        </is>
      </c>
      <c r="B10" s="8">
        <f>SUM(B4:B9)</f>
        <v/>
      </c>
      <c r="C10" s="9">
        <f>SUM(C4:C9)</f>
        <v/>
      </c>
      <c r="D10" s="7">
        <f>SUM(D4:D9)</f>
        <v/>
      </c>
    </row>
    <row r="11">
      <c r="A11" t="inlineStr">
        <is>
          <t>Control (debe ser 0)</t>
        </is>
      </c>
      <c r="B11" s="5">
        <f>ROUND(B10-SUM(Datos!$D$2:$D$44),2)</f>
        <v/>
      </c>
    </row>
    <row r="13">
      <c r="A13" s="7" t="inlineStr">
        <is>
          <t>Total por mes</t>
        </is>
      </c>
    </row>
    <row r="14">
      <c r="A14" s="4" t="inlineStr">
        <is>
          <t>Mes</t>
        </is>
      </c>
      <c r="B14" s="4" t="inlineStr">
        <is>
          <t>Inicio</t>
        </is>
      </c>
      <c r="C14" s="4" t="inlineStr">
        <is>
          <t>Fin (excl.)</t>
        </is>
      </c>
      <c r="D14" s="4" t="inlineStr">
        <is>
          <t>Total</t>
        </is>
      </c>
    </row>
    <row r="15">
      <c r="A15" t="inlineStr">
        <is>
          <t>Julio 2026</t>
        </is>
      </c>
      <c r="B15" s="1" t="n">
        <v>46204</v>
      </c>
      <c r="C15" s="1">
        <f>EDATE(B15,1)</f>
        <v/>
      </c>
      <c r="D15" s="5">
        <f>SUMIFS(Datos!$D$2:$D$44,Datos!$A$2:$A$44,"&gt;="&amp;B15,Datos!$A$2:$A$44,"&lt;"&amp;C15)</f>
        <v/>
      </c>
    </row>
    <row r="16">
      <c r="A16" t="inlineStr">
        <is>
          <t>Agosto 2026</t>
        </is>
      </c>
      <c r="B16" s="1" t="n">
        <v>46235</v>
      </c>
      <c r="C16" s="1">
        <f>EDATE(B16,1)</f>
        <v/>
      </c>
      <c r="D16" s="5">
        <f>SUMIFS(Datos!$D$2:$D$44,Datos!$A$2:$A$44,"&gt;="&amp;B16,Datos!$A$2:$A$44,"&lt;"&amp;C16)</f>
        <v/>
      </c>
    </row>
    <row r="17">
      <c r="A17" t="inlineStr">
        <is>
          <t>Septiembre 2026</t>
        </is>
      </c>
      <c r="B17" s="1" t="n">
        <v>46266</v>
      </c>
      <c r="C17" s="1">
        <f>EDATE(B17,1)</f>
        <v/>
      </c>
      <c r="D17" s="5">
        <f>SUMIFS(Datos!$D$2:$D$44,Datos!$A$2:$A$44,"&gt;="&amp;B17,Datos!$A$2:$A$44,"&lt;"&amp;C17)</f>
        <v/>
      </c>
    </row>
    <row r="18">
      <c r="A18" s="7" t="inlineStr">
        <is>
          <t>TOTAL</t>
        </is>
      </c>
      <c r="B18" s="7" t="n"/>
      <c r="C18" s="7" t="n"/>
      <c r="D18" s="8">
        <f>SUM(D15:D17)</f>
        <v/>
      </c>
    </row>
    <row r="19">
      <c r="A19" t="inlineStr">
        <is>
          <t>Control (debe ser 0)</t>
        </is>
      </c>
      <c r="D19" s="5">
        <f>ROUND(D18-SUM(Datos!$D$2:$D$44),2)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2026-10-09T10:15:11Z</dcterms:created>
  <dcterms:modified xsi:type="dcterms:W3CDTF">2026-10-09T10:15:11Z</dcterms:modified>
</cp:coreProperties>
</file>